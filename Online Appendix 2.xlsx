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inarceylan/Desktop/ARŞİV/"/>
    </mc:Choice>
  </mc:AlternateContent>
  <xr:revisionPtr revIDLastSave="0" documentId="13_ncr:1_{A620AC3F-784B-3C48-ABEB-B7C636313E49}" xr6:coauthVersionLast="47" xr6:coauthVersionMax="47" xr10:uidLastSave="{00000000-0000-0000-0000-000000000000}"/>
  <bookViews>
    <workbookView xWindow="0" yWindow="500" windowWidth="28800" windowHeight="16420" tabRatio="500" xr2:uid="{00000000-000D-0000-FFFF-FFFF00000000}"/>
  </bookViews>
  <sheets>
    <sheet name="Accounts (wide)" sheetId="3" r:id="rId1"/>
    <sheet name="Reconciliation" sheetId="5" r:id="rId2"/>
    <sheet name="Data dictionar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5" l="1"/>
  <c r="L9" i="5"/>
  <c r="L11" i="5"/>
  <c r="L10" i="5"/>
  <c r="L8" i="5"/>
  <c r="L7" i="5"/>
  <c r="L6" i="5"/>
  <c r="L5" i="5"/>
  <c r="L4" i="5"/>
  <c r="L3" i="5"/>
  <c r="L2" i="5"/>
  <c r="G11" i="5"/>
  <c r="G10" i="5"/>
  <c r="G9" i="5"/>
  <c r="G8" i="5"/>
  <c r="G7" i="5"/>
  <c r="G6" i="5"/>
  <c r="G5" i="5"/>
  <c r="G4" i="5"/>
  <c r="G3" i="5"/>
  <c r="G2" i="5"/>
  <c r="F2" i="5"/>
  <c r="H2" i="5"/>
  <c r="E11" i="5"/>
  <c r="E10" i="5"/>
  <c r="E9" i="5"/>
  <c r="E8" i="5"/>
  <c r="E7" i="5"/>
  <c r="E6" i="5"/>
  <c r="E5" i="5"/>
  <c r="E4" i="5"/>
  <c r="E3" i="5"/>
  <c r="E2" i="5"/>
  <c r="D11" i="5"/>
  <c r="D10" i="5"/>
  <c r="D9" i="5"/>
  <c r="D8" i="5"/>
  <c r="D7" i="5"/>
  <c r="D6" i="5"/>
  <c r="D5" i="5"/>
  <c r="D4" i="5"/>
  <c r="D3" i="5"/>
  <c r="D2" i="5"/>
  <c r="A2" i="5"/>
  <c r="A3" i="5"/>
  <c r="A4" i="5"/>
  <c r="A5" i="5"/>
  <c r="A6" i="5"/>
  <c r="A7" i="5"/>
  <c r="A8" i="5"/>
  <c r="A9" i="5"/>
  <c r="A10" i="5"/>
  <c r="A11" i="5"/>
  <c r="K11" i="5"/>
  <c r="J11" i="5"/>
  <c r="I11" i="5"/>
  <c r="F11" i="5"/>
  <c r="H11" i="5"/>
  <c r="C11" i="5"/>
  <c r="B11" i="5"/>
  <c r="K10" i="5"/>
  <c r="J10" i="5"/>
  <c r="I10" i="5"/>
  <c r="F10" i="5"/>
  <c r="H10" i="5"/>
  <c r="C10" i="5"/>
  <c r="B10" i="5"/>
  <c r="K9" i="5"/>
  <c r="J9" i="5"/>
  <c r="I9" i="5"/>
  <c r="F9" i="5"/>
  <c r="H9" i="5"/>
  <c r="C9" i="5"/>
  <c r="B9" i="5"/>
  <c r="K8" i="5"/>
  <c r="J8" i="5"/>
  <c r="I8" i="5"/>
  <c r="F8" i="5"/>
  <c r="H8" i="5"/>
  <c r="C8" i="5"/>
  <c r="B8" i="5"/>
  <c r="K7" i="5"/>
  <c r="J7" i="5"/>
  <c r="I7" i="5"/>
  <c r="F7" i="5"/>
  <c r="H7" i="5"/>
  <c r="C7" i="5"/>
  <c r="B7" i="5"/>
  <c r="K6" i="5"/>
  <c r="J6" i="5"/>
  <c r="F6" i="5"/>
  <c r="H6" i="5"/>
  <c r="C6" i="5"/>
  <c r="B6" i="5"/>
  <c r="K5" i="5"/>
  <c r="J5" i="5"/>
  <c r="I5" i="5"/>
  <c r="F5" i="5"/>
  <c r="H5" i="5"/>
  <c r="C5" i="5"/>
  <c r="B5" i="5"/>
  <c r="K4" i="5"/>
  <c r="J4" i="5"/>
  <c r="I4" i="5"/>
  <c r="F4" i="5"/>
  <c r="H4" i="5"/>
  <c r="C4" i="5"/>
  <c r="B4" i="5"/>
  <c r="K3" i="5"/>
  <c r="J3" i="5"/>
  <c r="I3" i="5"/>
  <c r="F3" i="5"/>
  <c r="H3" i="5"/>
  <c r="C3" i="5"/>
  <c r="B3" i="5"/>
  <c r="K2" i="5"/>
  <c r="J2" i="5"/>
  <c r="I2" i="5"/>
  <c r="C2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X3" authorId="0" shapeId="0" xr:uid="{2543E6A8-2063-EA41-B4C0-CE1A7DCEC69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Copyist error: 151,731
</t>
        </r>
      </text>
    </comment>
    <comment ref="K6" authorId="0" shapeId="0" xr:uid="{14C6A258-0C55-2146-B80C-A628951F7C7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Copyist error: 2,000
</t>
        </r>
      </text>
    </comment>
    <comment ref="M10" authorId="0" shapeId="0" xr:uid="{E9234539-92A1-D249-AB98-0F2D9FFA447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Copyist error: 205
</t>
        </r>
      </text>
    </comment>
    <comment ref="W10" authorId="0" shapeId="0" xr:uid="{AF7B024D-E80B-9E49-862F-B5BD384A241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 addition, the accounts record 2,880 akçe in unpaid salary arrears.
</t>
        </r>
      </text>
    </comment>
    <comment ref="X10" authorId="0" shapeId="0" xr:uid="{19156198-0202-C24E-AC5C-83E4CA88DCA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 addition, the accounts record 4,400 akçe in unpaid expenditure arrears.
</t>
        </r>
      </text>
    </comment>
    <comment ref="I11" authorId="0" shapeId="0" xr:uid="{58D7365D-35EC-8C4A-B973-40D24267DEB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Copyist error: 233,944</t>
        </r>
      </text>
    </comment>
    <comment ref="S11" authorId="0" shapeId="0" xr:uid="{E0978A9B-08AE-434D-A97A-8CC66AF7152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Copyist error: 198,626
</t>
        </r>
      </text>
    </comment>
  </commentList>
</comments>
</file>

<file path=xl/sharedStrings.xml><?xml version="1.0" encoding="utf-8"?>
<sst xmlns="http://schemas.openxmlformats.org/spreadsheetml/2006/main" count="258" uniqueCount="199">
  <si>
    <t xml:space="preserve">CUMULATIVE REVENUES 
</t>
  </si>
  <si>
    <t xml:space="preserve">OPENING BALANCE 
</t>
  </si>
  <si>
    <t>NON-REGULAR PAYMENTS</t>
  </si>
  <si>
    <t xml:space="preserve">CURRENT YEAR REVENUES
</t>
  </si>
  <si>
    <t>EXPENDITURES</t>
  </si>
  <si>
    <t>Register</t>
  </si>
  <si>
    <t>Waqf</t>
  </si>
  <si>
    <t>Location</t>
  </si>
  <si>
    <t>Account interval (raw Hijri)</t>
  </si>
  <si>
    <t>Start (CE)</t>
  </si>
  <si>
    <t>End (CE)</t>
  </si>
  <si>
    <t>Currency</t>
  </si>
  <si>
    <t>Account type</t>
  </si>
  <si>
    <t>Cumulative revenues (L1)</t>
  </si>
  <si>
    <t xml:space="preserve">  of which received (L1A)</t>
  </si>
  <si>
    <t xml:space="preserve">  of which receivable (L1B)</t>
  </si>
  <si>
    <t>Opening balance, total (L2)</t>
  </si>
  <si>
    <t>Opening cash (L2A)</t>
  </si>
  <si>
    <t>Opening receivable (L2B)</t>
  </si>
  <si>
    <t>Prior receivable collected (L2T)</t>
  </si>
  <si>
    <t>Loan, (L3.1)</t>
  </si>
  <si>
    <t>Advance payment (L3.2)</t>
  </si>
  <si>
    <t>Other inflow (L3.3)</t>
  </si>
  <si>
    <t>Current-year revenue, total (L4)</t>
  </si>
  <si>
    <t xml:space="preserve">  of which received (L4A)</t>
  </si>
  <si>
    <t xml:space="preserve">  of which accrued (L4B)</t>
  </si>
  <si>
    <t>Expenditure, total (L5)</t>
  </si>
  <si>
    <t>Salaries (L5A)</t>
  </si>
  <si>
    <t>Outlays &amp; repair (L5B)</t>
  </si>
  <si>
    <t>Balance after expenditure (L6)</t>
  </si>
  <si>
    <t>Non-expenditure payments (L7)</t>
  </si>
  <si>
    <t>Closing balance,(L8)</t>
  </si>
  <si>
    <t>Cumulative receivables(L9)</t>
  </si>
  <si>
    <t>Closing net of receivables (L10)</t>
  </si>
  <si>
    <t>Empoyee N (L11)</t>
  </si>
  <si>
    <t>Daily wage total (L12)</t>
  </si>
  <si>
    <t>MAD.d 1703_p102</t>
  </si>
  <si>
    <t>Canfeda Hatun</t>
  </si>
  <si>
    <t>Istanbul</t>
  </si>
  <si>
    <t>gurre-yi Muharrem sene 1024 ila gayet-i Zilhicce sene-yi minhü</t>
  </si>
  <si>
    <t>1615</t>
  </si>
  <si>
    <t>1616</t>
  </si>
  <si>
    <t>Akçe</t>
  </si>
  <si>
    <t>certified final account</t>
  </si>
  <si>
    <t>MAD.d 1703_p99</t>
  </si>
  <si>
    <t>gurre-yi Muharrem sene 1025 ila gayet-i Zilhicce sene-yi minhü</t>
  </si>
  <si>
    <t>1617</t>
  </si>
  <si>
    <t>MAD.d 1703_p95</t>
  </si>
  <si>
    <t>gurre-yi Muharrem sene 1026 ila gayet-i Zilhicce</t>
  </si>
  <si>
    <t>MAD.d 1703_p92</t>
  </si>
  <si>
    <t>gurre-yi Muharrem sene 1027 ila gayet-i Zilhicce</t>
  </si>
  <si>
    <t>1618</t>
  </si>
  <si>
    <t>MAD.d 1703_p88</t>
  </si>
  <si>
    <t>gurre-yi Muharrem sene 1028 ila gayet-i Zilhicce</t>
  </si>
  <si>
    <t>1619</t>
  </si>
  <si>
    <t>MAD.d 1703_p85</t>
  </si>
  <si>
    <t>gurre-yi Muharrem sene 1029 ila gayet-i sene-yi minhü</t>
  </si>
  <si>
    <t>1620</t>
  </si>
  <si>
    <t>MAD.d 1703_p79</t>
  </si>
  <si>
    <t>gurre-yi Muharrem sene 1032 ila gayet-i Zilhicce sene-yi minhü</t>
  </si>
  <si>
    <t>1622</t>
  </si>
  <si>
    <t>1623</t>
  </si>
  <si>
    <t>MAD.d 1703_p76</t>
  </si>
  <si>
    <t>gurre-yi Muharrem sene 1033 ila gayet-i Zilhicce sene-yi minhü</t>
  </si>
  <si>
    <t>1624</t>
  </si>
  <si>
    <t>MAD.d 1703_p51</t>
  </si>
  <si>
    <t>‘an 9 Şaban sene 1038 ila gayet-i Receb sene 1039</t>
  </si>
  <si>
    <t>1629</t>
  </si>
  <si>
    <t>1630</t>
  </si>
  <si>
    <t>MAD.d 1703_p24</t>
  </si>
  <si>
    <t>gurre-yi Şaban sene 1044 ila 28 Şaban sene 1045</t>
  </si>
  <si>
    <t>1635</t>
  </si>
  <si>
    <t>1636</t>
  </si>
  <si>
    <t>Account (register)</t>
  </si>
  <si>
    <t>Year</t>
  </si>
  <si>
    <t>(1) Opening balance</t>
  </si>
  <si>
    <t>(2) Current-year revenues</t>
  </si>
  <si>
    <t xml:space="preserve">(3) Cumulative resources </t>
  </si>
  <si>
    <t>(4) Cumulative resources</t>
  </si>
  <si>
    <t>(5) Cumulative receivable</t>
  </si>
  <si>
    <t>(6) Expenditure</t>
  </si>
  <si>
    <t>(7) Balance after expenditure</t>
  </si>
  <si>
    <t>(8) Closing balance (balance after exp. − non-expenditure payments)</t>
  </si>
  <si>
    <t>(9) Closing (net of receivables) = closing − receivables</t>
  </si>
  <si>
    <t xml:space="preserve">(10) Deductibles: cumulative receivable = resources receivable </t>
  </si>
  <si>
    <t>(1)</t>
  </si>
  <si>
    <t>Opening balance, total = Opening cash + Opening receivables</t>
  </si>
  <si>
    <t>(2)</t>
  </si>
  <si>
    <t>Current year revenues, total = Received + Receivables</t>
  </si>
  <si>
    <t>(3)</t>
  </si>
  <si>
    <t>Cumulative resources, total = Received + Receivables</t>
  </si>
  <si>
    <t>(4)</t>
  </si>
  <si>
    <t xml:space="preserve">Cumulative resources, total = Opening balance + Non-regular revenue + Current year revenue </t>
  </si>
  <si>
    <t>(5)</t>
  </si>
  <si>
    <t>Cumulative resources, receivable = Opening receivables - Prior receivables collected + Current year receivables</t>
  </si>
  <si>
    <t>(6)</t>
  </si>
  <si>
    <t>Expenditure, total = Salaries + Outlay and repair</t>
  </si>
  <si>
    <t>(7)</t>
  </si>
  <si>
    <t>Balance after expenditure = Cumulative revenues, total - Expenditure, total</t>
  </si>
  <si>
    <t>(8)</t>
  </si>
  <si>
    <t>Closing balance = Balance after expenditure - Non-expenditure payments</t>
  </si>
  <si>
    <t>(9)</t>
  </si>
  <si>
    <t>Closing balance net of receivables = Closing - Deductibles</t>
  </si>
  <si>
    <t>(10)</t>
  </si>
  <si>
    <t>Deductibles = Cumulative receivables</t>
  </si>
  <si>
    <t>Code</t>
  </si>
  <si>
    <t>Flow block</t>
  </si>
  <si>
    <t>Ottoman header</t>
  </si>
  <si>
    <t>English label</t>
  </si>
  <si>
    <t>Identity / note</t>
  </si>
  <si>
    <t>L1</t>
  </si>
  <si>
    <t>Cumulative resources</t>
  </si>
  <si>
    <t>Asl-ı mâl</t>
  </si>
  <si>
    <t>Cumulative resources, total</t>
  </si>
  <si>
    <t>L1= L2 + L3.1 + L3.2 + L3.3 + L4; =L1A + L1B</t>
  </si>
  <si>
    <t>L1A</t>
  </si>
  <si>
    <t>Asl-ı mâl makbûz</t>
  </si>
  <si>
    <t>Cumulative resources received</t>
  </si>
  <si>
    <t xml:space="preserve">L1A = L2A + L3.1 + L3.2 + L3.3 + L2T + L4A </t>
  </si>
  <si>
    <t>L1B</t>
  </si>
  <si>
    <t>Asl-ı mâl bâkî</t>
  </si>
  <si>
    <t>Cumulative resources receivable</t>
  </si>
  <si>
    <t>L1B = L2B + L4B − L2T, also = L9</t>
  </si>
  <si>
    <t>L2</t>
  </si>
  <si>
    <t>Opening balance</t>
  </si>
  <si>
    <t>Bâkiye-i muhâsebe-i sene-i mâziyye</t>
  </si>
  <si>
    <t>Opening balance, total</t>
  </si>
  <si>
    <t>L2 = L2A + L2B</t>
  </si>
  <si>
    <t>L2A</t>
  </si>
  <si>
    <t>Bâkiye der kise</t>
  </si>
  <si>
    <t>Opening cash on hand</t>
  </si>
  <si>
    <t>carried from prior year L10</t>
  </si>
  <si>
    <t>L2B</t>
  </si>
  <si>
    <t>Bâkiye der zimem</t>
  </si>
  <si>
    <t>Opening receivables</t>
  </si>
  <si>
    <t>L2T</t>
  </si>
  <si>
    <t>Tahsîl</t>
  </si>
  <si>
    <t>Collection of a prior-year receivable</t>
  </si>
  <si>
    <t>L3.1</t>
  </si>
  <si>
    <t>Non-regular revenues</t>
  </si>
  <si>
    <t>İstikrâz</t>
  </si>
  <si>
    <t>Loan taken in</t>
  </si>
  <si>
    <t>L3.2</t>
  </si>
  <si>
    <t>Akçe-yi pîşîn</t>
  </si>
  <si>
    <t>Advance payment received from tax-farmers</t>
  </si>
  <si>
    <t>L3.3</t>
  </si>
  <si>
    <t>murabehe-yi nükud-ı vakıf; an akçe-yi ava'id-i mütevelli; akçe-yi imdadiye, etc.</t>
  </si>
  <si>
    <t>Other non-regular inflow</t>
  </si>
  <si>
    <t>L4</t>
  </si>
  <si>
    <t>Current-year revenues</t>
  </si>
  <si>
    <t>Mahsûlât</t>
  </si>
  <si>
    <t>Current year revenue, total</t>
  </si>
  <si>
    <t>L4 = L4A + L4B</t>
  </si>
  <si>
    <t>L4A</t>
  </si>
  <si>
    <t>Mahsûlât makbûz</t>
  </si>
  <si>
    <t>Current year revenue received</t>
  </si>
  <si>
    <t>L4B</t>
  </si>
  <si>
    <t>Mahsûlât bâkî</t>
  </si>
  <si>
    <t>Current year revenue receivable</t>
  </si>
  <si>
    <t>L5</t>
  </si>
  <si>
    <t>Expenditures</t>
  </si>
  <si>
    <t>Vuzi‘a min zâlik</t>
  </si>
  <si>
    <t>Expenditure, total</t>
  </si>
  <si>
    <t>L5 = L5A + L5B</t>
  </si>
  <si>
    <t>L5A</t>
  </si>
  <si>
    <t>El-vezâif</t>
  </si>
  <si>
    <t xml:space="preserve">Stipends &amp; salaries </t>
  </si>
  <si>
    <t>L5B</t>
  </si>
  <si>
    <t>El-ihrâcât ma‘a meremmet</t>
  </si>
  <si>
    <t>Outlays &amp; repairs</t>
  </si>
  <si>
    <t>L6</t>
  </si>
  <si>
    <t>Balance</t>
  </si>
  <si>
    <t>El-bâkî</t>
  </si>
  <si>
    <t>Balance after expenditures</t>
  </si>
  <si>
    <t>L6 = L1 − L5</t>
  </si>
  <si>
    <t>L7</t>
  </si>
  <si>
    <t>Deductible</t>
  </si>
  <si>
    <t>Min zâlike’l-bâkî</t>
  </si>
  <si>
    <t xml:space="preserve">Non-expenditure payments </t>
  </si>
  <si>
    <t>L8</t>
  </si>
  <si>
    <t>Sahhü’l-bâkî</t>
  </si>
  <si>
    <t>Closing balance</t>
  </si>
  <si>
    <t>L8 = L6 − L7, carries to next-year L2</t>
  </si>
  <si>
    <t>L9</t>
  </si>
  <si>
    <t>Minhâ</t>
  </si>
  <si>
    <t>Cumulative receivable</t>
  </si>
  <si>
    <t>=L1B</t>
  </si>
  <si>
    <t>L10</t>
  </si>
  <si>
    <t>Nassü’l-bâkî</t>
  </si>
  <si>
    <t>Closing balance net of receivables</t>
  </si>
  <si>
    <t>L10 = L8 − L9, carries to next-year L2A</t>
  </si>
  <si>
    <t>L11</t>
  </si>
  <si>
    <t>Payroll data</t>
  </si>
  <si>
    <t>Nefer</t>
  </si>
  <si>
    <t>Headcount (employees)</t>
  </si>
  <si>
    <t>memo line</t>
  </si>
  <si>
    <t>L12</t>
  </si>
  <si>
    <t>Yevmiyye</t>
  </si>
  <si>
    <t>Daily wage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</si>
</sst>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–"/>
  </numFmts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555555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u/>
      <sz val="11"/>
      <color theme="10"/>
      <name val="Calibri"/>
      <family val="2"/>
      <charset val="1"/>
    </font>
    <font>
      <b/>
      <sz val="10"/>
      <color theme="9" tint="-0.249977111117893"/>
      <name val="Arial"/>
      <family val="2"/>
    </font>
    <font>
      <b/>
      <sz val="10"/>
      <color rgb="FFFFFF00"/>
      <name val="Arial"/>
      <family val="2"/>
    </font>
    <font>
      <sz val="11"/>
      <color rgb="FF0070C0"/>
      <name val="Calibri"/>
      <family val="2"/>
      <charset val="1"/>
    </font>
    <font>
      <sz val="10"/>
      <color rgb="FF000000"/>
      <name val="Arial"/>
      <family val="2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Helvetica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5FB"/>
        <bgColor rgb="FFF7F9FD"/>
      </patternFill>
    </fill>
    <fill>
      <patternFill patternType="solid">
        <fgColor rgb="FFF7F9FD"/>
        <bgColor rgb="FFF2F5FB"/>
      </patternFill>
    </fill>
    <fill>
      <patternFill patternType="solid">
        <fgColor theme="8" tint="-0.249977111117893"/>
        <bgColor rgb="FF1F3864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center" wrapText="1"/>
    </xf>
    <xf numFmtId="0" fontId="9" fillId="4" borderId="1" xfId="1" applyFont="1" applyFill="1" applyBorder="1" applyAlignment="1">
      <alignment horizontal="left"/>
    </xf>
    <xf numFmtId="0" fontId="9" fillId="0" borderId="1" xfId="1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0" fillId="3" borderId="1" xfId="0" applyFont="1" applyFill="1" applyBorder="1" applyAlignment="1">
      <alignment vertical="top" wrapText="1"/>
    </xf>
    <xf numFmtId="49" fontId="0" fillId="0" borderId="0" xfId="0" applyNumberFormat="1"/>
    <xf numFmtId="49" fontId="1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2" fontId="0" fillId="0" borderId="0" xfId="0" applyNumberFormat="1"/>
    <xf numFmtId="0" fontId="10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left" vertical="center"/>
    </xf>
    <xf numFmtId="12" fontId="2" fillId="2" borderId="1" xfId="0" applyNumberFormat="1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F2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zBuNKkpItW4ySH1ND2eu38axZZA7KHuk/view?usp=drive_link" TargetMode="External"/><Relationship Id="rId3" Type="http://schemas.openxmlformats.org/officeDocument/2006/relationships/hyperlink" Target="https://drive.google.com/file/d/1zBuNKkpItW4ySH1ND2eu38axZZA7KHuk/view?usp=drive_link" TargetMode="External"/><Relationship Id="rId7" Type="http://schemas.openxmlformats.org/officeDocument/2006/relationships/hyperlink" Target="https://drive.google.com/file/d/1zBuNKkpItW4ySH1ND2eu38axZZA7KHuk/view?usp=drive_link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rive.google.com/file/d/1zBuNKkpItW4ySH1ND2eu38axZZA7KHuk/view?usp=drive_link" TargetMode="External"/><Relationship Id="rId1" Type="http://schemas.openxmlformats.org/officeDocument/2006/relationships/hyperlink" Target="https://drive.google.com/file/d/1zBuNKkpItW4ySH1ND2eu38axZZA7KHuk/view?usp=drive_link" TargetMode="External"/><Relationship Id="rId6" Type="http://schemas.openxmlformats.org/officeDocument/2006/relationships/hyperlink" Target="https://drive.google.com/file/d/1zBuNKkpItW4ySH1ND2eu38axZZA7KHuk/view?usp=drive_link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rive.google.com/file/d/1zBuNKkpItW4ySH1ND2eu38axZZA7KHuk/view?usp=drive_link" TargetMode="External"/><Relationship Id="rId10" Type="http://schemas.openxmlformats.org/officeDocument/2006/relationships/hyperlink" Target="https://drive.google.com/file/d/1zBuNKkpItW4ySH1ND2eu38axZZA7KHuk/view?usp=drive_link" TargetMode="External"/><Relationship Id="rId4" Type="http://schemas.openxmlformats.org/officeDocument/2006/relationships/hyperlink" Target="https://drive.google.com/file/d/1zBuNKkpItW4ySH1ND2eu38axZZA7KHuk/view?usp=drive_link" TargetMode="External"/><Relationship Id="rId9" Type="http://schemas.openxmlformats.org/officeDocument/2006/relationships/hyperlink" Target="https://drive.google.com/file/d/1zBuNKkpItW4ySH1ND2eu38axZZA7KHu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6"/>
  <sheetViews>
    <sheetView showGridLines="0" tabSelected="1" zoomScaleNormal="100" workbookViewId="0">
      <pane xSplit="8" ySplit="2" topLeftCell="I3" activePane="bottomRight" state="frozen"/>
      <selection pane="topRight" activeCell="I1" sqref="I1"/>
      <selection pane="bottomLeft" activeCell="A2" sqref="A2"/>
      <selection pane="bottomRight" activeCell="AC9" sqref="AC9"/>
    </sheetView>
  </sheetViews>
  <sheetFormatPr baseColWidth="10" defaultColWidth="8.6640625" defaultRowHeight="15" x14ac:dyDescent="0.2"/>
  <cols>
    <col min="1" max="1" width="16" customWidth="1"/>
    <col min="2" max="2" width="14" customWidth="1"/>
    <col min="3" max="3" width="10" customWidth="1"/>
    <col min="4" max="4" width="30" customWidth="1"/>
    <col min="5" max="6" width="8" customWidth="1"/>
    <col min="7" max="7" width="8.5" customWidth="1"/>
    <col min="8" max="10" width="20.6640625" customWidth="1"/>
    <col min="11" max="11" width="17.5" customWidth="1"/>
    <col min="12" max="31" width="15" customWidth="1"/>
  </cols>
  <sheetData>
    <row r="1" spans="1:31" ht="42" customHeight="1" x14ac:dyDescent="0.2">
      <c r="I1" s="45" t="s">
        <v>0</v>
      </c>
      <c r="J1" s="46"/>
      <c r="K1" s="47"/>
      <c r="L1" s="42" t="s">
        <v>1</v>
      </c>
      <c r="M1" s="43"/>
      <c r="N1" s="43"/>
      <c r="O1" s="44"/>
      <c r="P1" s="45" t="s">
        <v>2</v>
      </c>
      <c r="Q1" s="46"/>
      <c r="R1" s="47"/>
      <c r="S1" s="42" t="s">
        <v>3</v>
      </c>
      <c r="T1" s="43"/>
      <c r="U1" s="44"/>
      <c r="V1" s="45" t="s">
        <v>4</v>
      </c>
      <c r="W1" s="46"/>
      <c r="X1" s="47"/>
    </row>
    <row r="2" spans="1:31" s="3" customFormat="1" ht="42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4" t="s">
        <v>13</v>
      </c>
      <c r="J2" s="4" t="s">
        <v>14</v>
      </c>
      <c r="K2" s="4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4" t="s">
        <v>20</v>
      </c>
      <c r="Q2" s="4" t="s">
        <v>21</v>
      </c>
      <c r="R2" s="4" t="s">
        <v>22</v>
      </c>
      <c r="S2" s="2" t="s">
        <v>23</v>
      </c>
      <c r="T2" s="2" t="s">
        <v>24</v>
      </c>
      <c r="U2" s="2" t="s">
        <v>25</v>
      </c>
      <c r="V2" s="4" t="s">
        <v>26</v>
      </c>
      <c r="W2" s="4" t="s">
        <v>27</v>
      </c>
      <c r="X2" s="4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4" t="s">
        <v>34</v>
      </c>
      <c r="AE2" s="4" t="s">
        <v>35</v>
      </c>
    </row>
    <row r="3" spans="1:31" ht="29" x14ac:dyDescent="0.2">
      <c r="A3" s="13" t="s">
        <v>36</v>
      </c>
      <c r="B3" s="15" t="s">
        <v>37</v>
      </c>
      <c r="C3" s="15" t="s">
        <v>38</v>
      </c>
      <c r="D3" s="16" t="s">
        <v>39</v>
      </c>
      <c r="E3" s="17" t="s">
        <v>40</v>
      </c>
      <c r="F3" s="17" t="s">
        <v>41</v>
      </c>
      <c r="G3" s="17" t="s">
        <v>42</v>
      </c>
      <c r="H3" s="15" t="s">
        <v>43</v>
      </c>
      <c r="I3" s="18">
        <v>345973</v>
      </c>
      <c r="J3" s="8">
        <v>345973</v>
      </c>
      <c r="K3" s="18">
        <v>0</v>
      </c>
      <c r="L3" s="18">
        <v>1313</v>
      </c>
      <c r="M3" s="8">
        <v>1313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344660</v>
      </c>
      <c r="T3" s="8">
        <v>344660</v>
      </c>
      <c r="U3" s="18">
        <v>0</v>
      </c>
      <c r="V3" s="18">
        <v>254791</v>
      </c>
      <c r="W3" s="18">
        <v>103560</v>
      </c>
      <c r="X3" s="5">
        <v>151231</v>
      </c>
      <c r="Y3" s="18">
        <v>91182</v>
      </c>
      <c r="Z3" s="18">
        <v>86080</v>
      </c>
      <c r="AA3" s="18">
        <v>5102</v>
      </c>
      <c r="AB3" s="18">
        <v>0</v>
      </c>
      <c r="AC3" s="18">
        <v>5102</v>
      </c>
      <c r="AD3" s="18">
        <v>75</v>
      </c>
      <c r="AE3" s="18">
        <v>286</v>
      </c>
    </row>
    <row r="4" spans="1:31" ht="29" x14ac:dyDescent="0.2">
      <c r="A4" s="14" t="s">
        <v>44</v>
      </c>
      <c r="B4" s="19" t="s">
        <v>37</v>
      </c>
      <c r="C4" s="19" t="s">
        <v>38</v>
      </c>
      <c r="D4" s="20" t="s">
        <v>45</v>
      </c>
      <c r="E4" s="21" t="s">
        <v>41</v>
      </c>
      <c r="F4" s="21" t="s">
        <v>46</v>
      </c>
      <c r="G4" s="21" t="s">
        <v>42</v>
      </c>
      <c r="H4" s="19" t="s">
        <v>43</v>
      </c>
      <c r="I4" s="22">
        <v>208122</v>
      </c>
      <c r="J4" s="7">
        <v>208122</v>
      </c>
      <c r="K4" s="22">
        <v>0</v>
      </c>
      <c r="L4" s="22">
        <v>5102</v>
      </c>
      <c r="M4" s="7">
        <v>5102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203020</v>
      </c>
      <c r="T4" s="7">
        <v>203020</v>
      </c>
      <c r="U4" s="22">
        <v>0</v>
      </c>
      <c r="V4" s="22">
        <v>206705</v>
      </c>
      <c r="W4" s="22">
        <v>105000</v>
      </c>
      <c r="X4" s="22">
        <v>101705</v>
      </c>
      <c r="Y4" s="7">
        <v>1417</v>
      </c>
      <c r="Z4" s="22">
        <v>0</v>
      </c>
      <c r="AA4" s="7">
        <v>1417</v>
      </c>
      <c r="AB4" s="22">
        <v>0</v>
      </c>
      <c r="AC4" s="22">
        <v>1417</v>
      </c>
      <c r="AD4" s="22">
        <v>79</v>
      </c>
      <c r="AE4" s="22">
        <v>291</v>
      </c>
    </row>
    <row r="5" spans="1:31" ht="29" x14ac:dyDescent="0.2">
      <c r="A5" s="13" t="s">
        <v>47</v>
      </c>
      <c r="B5" s="15" t="s">
        <v>37</v>
      </c>
      <c r="C5" s="15" t="s">
        <v>38</v>
      </c>
      <c r="D5" s="16" t="s">
        <v>48</v>
      </c>
      <c r="E5" s="17" t="s">
        <v>46</v>
      </c>
      <c r="F5" s="17" t="s">
        <v>46</v>
      </c>
      <c r="G5" s="17" t="s">
        <v>42</v>
      </c>
      <c r="H5" s="15" t="s">
        <v>43</v>
      </c>
      <c r="I5" s="18">
        <v>189962</v>
      </c>
      <c r="J5" s="18">
        <v>187962</v>
      </c>
      <c r="K5" s="18">
        <v>2000</v>
      </c>
      <c r="L5" s="18">
        <v>1417</v>
      </c>
      <c r="M5" s="8">
        <v>1417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188545</v>
      </c>
      <c r="T5" s="18">
        <v>186545</v>
      </c>
      <c r="U5" s="18">
        <v>2000</v>
      </c>
      <c r="V5" s="18">
        <v>184954</v>
      </c>
      <c r="W5" s="18">
        <v>105000</v>
      </c>
      <c r="X5" s="18">
        <v>79954</v>
      </c>
      <c r="Y5" s="8">
        <v>5008</v>
      </c>
      <c r="Z5" s="18">
        <v>0</v>
      </c>
      <c r="AA5" s="8">
        <v>5008</v>
      </c>
      <c r="AB5" s="18">
        <v>2000</v>
      </c>
      <c r="AC5" s="18">
        <v>3008</v>
      </c>
      <c r="AD5" s="18">
        <v>79</v>
      </c>
      <c r="AE5" s="18">
        <v>291</v>
      </c>
    </row>
    <row r="6" spans="1:31" ht="29" x14ac:dyDescent="0.2">
      <c r="A6" s="14" t="s">
        <v>49</v>
      </c>
      <c r="B6" s="19" t="s">
        <v>37</v>
      </c>
      <c r="C6" s="19" t="s">
        <v>38</v>
      </c>
      <c r="D6" s="20" t="s">
        <v>50</v>
      </c>
      <c r="E6" s="21" t="s">
        <v>46</v>
      </c>
      <c r="F6" s="21" t="s">
        <v>51</v>
      </c>
      <c r="G6" s="21" t="s">
        <v>42</v>
      </c>
      <c r="H6" s="19" t="s">
        <v>43</v>
      </c>
      <c r="I6" s="22">
        <v>201548</v>
      </c>
      <c r="J6" s="22">
        <v>197548</v>
      </c>
      <c r="K6" s="6">
        <v>4000</v>
      </c>
      <c r="L6" s="22">
        <v>5008</v>
      </c>
      <c r="M6" s="22">
        <v>3008</v>
      </c>
      <c r="N6" s="22">
        <v>2000</v>
      </c>
      <c r="O6" s="22">
        <v>0</v>
      </c>
      <c r="P6" s="22">
        <v>0</v>
      </c>
      <c r="Q6" s="22">
        <v>0</v>
      </c>
      <c r="R6" s="22">
        <v>0</v>
      </c>
      <c r="S6" s="22">
        <v>196540</v>
      </c>
      <c r="T6" s="22">
        <v>194540</v>
      </c>
      <c r="U6" s="22">
        <v>2000</v>
      </c>
      <c r="V6" s="22">
        <v>197448</v>
      </c>
      <c r="W6" s="22">
        <v>106800</v>
      </c>
      <c r="X6" s="22">
        <v>90648</v>
      </c>
      <c r="Y6" s="7">
        <v>4100</v>
      </c>
      <c r="Z6" s="22">
        <v>0</v>
      </c>
      <c r="AA6" s="7">
        <v>4100</v>
      </c>
      <c r="AB6" s="22">
        <v>4000</v>
      </c>
      <c r="AC6" s="22">
        <v>100</v>
      </c>
      <c r="AD6" s="22">
        <v>78</v>
      </c>
      <c r="AE6" s="22">
        <v>283</v>
      </c>
    </row>
    <row r="7" spans="1:31" ht="29" x14ac:dyDescent="0.2">
      <c r="A7" s="13" t="s">
        <v>52</v>
      </c>
      <c r="B7" s="15" t="s">
        <v>37</v>
      </c>
      <c r="C7" s="15" t="s">
        <v>38</v>
      </c>
      <c r="D7" s="16" t="s">
        <v>53</v>
      </c>
      <c r="E7" s="17" t="s">
        <v>51</v>
      </c>
      <c r="F7" s="17" t="s">
        <v>54</v>
      </c>
      <c r="G7" s="17" t="s">
        <v>42</v>
      </c>
      <c r="H7" s="15" t="s">
        <v>43</v>
      </c>
      <c r="I7" s="18">
        <v>217205</v>
      </c>
      <c r="J7" s="18">
        <v>211205</v>
      </c>
      <c r="K7" s="18">
        <v>6000</v>
      </c>
      <c r="L7" s="18">
        <v>4100</v>
      </c>
      <c r="M7" s="18">
        <v>100</v>
      </c>
      <c r="N7" s="18">
        <v>4000</v>
      </c>
      <c r="O7" s="18">
        <v>0</v>
      </c>
      <c r="P7" s="18">
        <v>0</v>
      </c>
      <c r="Q7" s="18">
        <v>0</v>
      </c>
      <c r="R7" s="18">
        <v>0</v>
      </c>
      <c r="S7" s="18">
        <v>213105</v>
      </c>
      <c r="T7" s="18">
        <v>211105</v>
      </c>
      <c r="U7" s="18">
        <v>2000</v>
      </c>
      <c r="V7" s="18">
        <v>198825</v>
      </c>
      <c r="W7" s="18">
        <v>107160</v>
      </c>
      <c r="X7" s="18">
        <v>91665</v>
      </c>
      <c r="Y7" s="8">
        <v>14280</v>
      </c>
      <c r="Z7" s="18">
        <v>0</v>
      </c>
      <c r="AA7" s="8">
        <v>14280</v>
      </c>
      <c r="AB7" s="18">
        <v>6000</v>
      </c>
      <c r="AC7" s="18">
        <v>8280</v>
      </c>
      <c r="AD7" s="18">
        <v>79</v>
      </c>
      <c r="AE7" s="18">
        <v>297</v>
      </c>
    </row>
    <row r="8" spans="1:31" ht="29" x14ac:dyDescent="0.2">
      <c r="A8" s="14" t="s">
        <v>55</v>
      </c>
      <c r="B8" s="19" t="s">
        <v>37</v>
      </c>
      <c r="C8" s="19" t="s">
        <v>38</v>
      </c>
      <c r="D8" s="20" t="s">
        <v>56</v>
      </c>
      <c r="E8" s="21" t="s">
        <v>54</v>
      </c>
      <c r="F8" s="21" t="s">
        <v>57</v>
      </c>
      <c r="G8" s="21" t="s">
        <v>42</v>
      </c>
      <c r="H8" s="19" t="s">
        <v>43</v>
      </c>
      <c r="I8" s="22">
        <v>243740</v>
      </c>
      <c r="J8" s="22">
        <v>234960</v>
      </c>
      <c r="K8" s="22">
        <v>8780</v>
      </c>
      <c r="L8" s="22">
        <v>14280</v>
      </c>
      <c r="M8" s="22">
        <v>8280</v>
      </c>
      <c r="N8" s="22">
        <v>6000</v>
      </c>
      <c r="O8" s="22">
        <v>0</v>
      </c>
      <c r="P8" s="22">
        <v>0</v>
      </c>
      <c r="Q8" s="22">
        <v>0</v>
      </c>
      <c r="R8" s="22">
        <v>0</v>
      </c>
      <c r="S8" s="22">
        <v>229460</v>
      </c>
      <c r="T8" s="22">
        <v>226680</v>
      </c>
      <c r="U8" s="22">
        <v>2780</v>
      </c>
      <c r="V8" s="22">
        <v>219140</v>
      </c>
      <c r="W8" s="22">
        <v>107180</v>
      </c>
      <c r="X8" s="22">
        <v>111960</v>
      </c>
      <c r="Y8" s="7">
        <v>24600</v>
      </c>
      <c r="Z8" s="22">
        <v>0</v>
      </c>
      <c r="AA8" s="7">
        <v>24600</v>
      </c>
      <c r="AB8" s="22">
        <v>8780</v>
      </c>
      <c r="AC8" s="22">
        <v>15820</v>
      </c>
      <c r="AD8" s="22">
        <v>80</v>
      </c>
      <c r="AE8" s="22">
        <v>297</v>
      </c>
    </row>
    <row r="9" spans="1:31" ht="29" x14ac:dyDescent="0.2">
      <c r="A9" s="13" t="s">
        <v>58</v>
      </c>
      <c r="B9" s="15" t="s">
        <v>37</v>
      </c>
      <c r="C9" s="15" t="s">
        <v>38</v>
      </c>
      <c r="D9" s="16" t="s">
        <v>59</v>
      </c>
      <c r="E9" s="17" t="s">
        <v>60</v>
      </c>
      <c r="F9" s="17" t="s">
        <v>61</v>
      </c>
      <c r="G9" s="17" t="s">
        <v>42</v>
      </c>
      <c r="H9" s="15" t="s">
        <v>43</v>
      </c>
      <c r="I9" s="18">
        <v>214055</v>
      </c>
      <c r="J9" s="18">
        <v>200463</v>
      </c>
      <c r="K9" s="18">
        <v>13592</v>
      </c>
      <c r="L9" s="18">
        <v>13365</v>
      </c>
      <c r="M9" s="18">
        <v>773</v>
      </c>
      <c r="N9" s="18">
        <v>12592</v>
      </c>
      <c r="O9" s="18">
        <v>0</v>
      </c>
      <c r="P9" s="18">
        <v>0</v>
      </c>
      <c r="Q9" s="18">
        <v>0</v>
      </c>
      <c r="R9" s="18">
        <v>0</v>
      </c>
      <c r="S9" s="18">
        <v>200690</v>
      </c>
      <c r="T9" s="18">
        <v>199690</v>
      </c>
      <c r="U9" s="18">
        <v>1000</v>
      </c>
      <c r="V9" s="18">
        <v>200838</v>
      </c>
      <c r="W9" s="18">
        <v>108540</v>
      </c>
      <c r="X9" s="18">
        <v>92298</v>
      </c>
      <c r="Y9" s="8">
        <v>13217</v>
      </c>
      <c r="Z9" s="18">
        <v>0</v>
      </c>
      <c r="AA9" s="8">
        <v>13217</v>
      </c>
      <c r="AB9" s="18">
        <v>13092</v>
      </c>
      <c r="AC9" s="5">
        <v>125</v>
      </c>
      <c r="AD9" s="18">
        <v>81</v>
      </c>
      <c r="AE9" s="18">
        <v>293</v>
      </c>
    </row>
    <row r="10" spans="1:31" ht="29" x14ac:dyDescent="0.2">
      <c r="A10" s="14" t="s">
        <v>62</v>
      </c>
      <c r="B10" s="19" t="s">
        <v>37</v>
      </c>
      <c r="C10" s="19" t="s">
        <v>38</v>
      </c>
      <c r="D10" s="20" t="s">
        <v>63</v>
      </c>
      <c r="E10" s="21" t="s">
        <v>61</v>
      </c>
      <c r="F10" s="21" t="s">
        <v>64</v>
      </c>
      <c r="G10" s="21" t="s">
        <v>42</v>
      </c>
      <c r="H10" s="19" t="s">
        <v>43</v>
      </c>
      <c r="I10" s="22">
        <v>231547</v>
      </c>
      <c r="J10" s="22">
        <v>218455</v>
      </c>
      <c r="K10" s="22">
        <v>13092</v>
      </c>
      <c r="L10" s="22">
        <v>13217</v>
      </c>
      <c r="M10" s="6">
        <v>125</v>
      </c>
      <c r="N10" s="22">
        <v>13092</v>
      </c>
      <c r="O10" s="22">
        <v>0</v>
      </c>
      <c r="P10" s="22">
        <v>0</v>
      </c>
      <c r="Q10" s="22">
        <v>7000</v>
      </c>
      <c r="R10" s="22">
        <v>0</v>
      </c>
      <c r="S10" s="22">
        <v>211330</v>
      </c>
      <c r="T10" s="7">
        <v>211330</v>
      </c>
      <c r="U10" s="22">
        <v>0</v>
      </c>
      <c r="V10" s="22">
        <v>218350</v>
      </c>
      <c r="W10" s="22">
        <v>108600</v>
      </c>
      <c r="X10" s="22">
        <v>109750</v>
      </c>
      <c r="Y10" s="7">
        <v>13197</v>
      </c>
      <c r="Z10" s="22">
        <v>0</v>
      </c>
      <c r="AA10" s="7">
        <v>13197</v>
      </c>
      <c r="AB10" s="22">
        <v>13112</v>
      </c>
      <c r="AC10" s="22">
        <v>85</v>
      </c>
      <c r="AD10" s="22">
        <v>111</v>
      </c>
      <c r="AE10" s="22">
        <v>309</v>
      </c>
    </row>
    <row r="11" spans="1:31" ht="29" x14ac:dyDescent="0.2">
      <c r="A11" s="13" t="s">
        <v>65</v>
      </c>
      <c r="B11" s="15" t="s">
        <v>37</v>
      </c>
      <c r="C11" s="15" t="s">
        <v>38</v>
      </c>
      <c r="D11" s="16" t="s">
        <v>66</v>
      </c>
      <c r="E11" s="17" t="s">
        <v>67</v>
      </c>
      <c r="F11" s="17" t="s">
        <v>68</v>
      </c>
      <c r="G11" s="17" t="s">
        <v>42</v>
      </c>
      <c r="H11" s="15" t="s">
        <v>43</v>
      </c>
      <c r="I11" s="5">
        <v>233935</v>
      </c>
      <c r="J11" s="18">
        <v>198687</v>
      </c>
      <c r="K11" s="18">
        <v>35248</v>
      </c>
      <c r="L11" s="18">
        <v>34309</v>
      </c>
      <c r="M11" s="18">
        <v>0</v>
      </c>
      <c r="N11" s="18">
        <v>34309</v>
      </c>
      <c r="O11" s="18">
        <v>5692</v>
      </c>
      <c r="P11" s="18">
        <v>0</v>
      </c>
      <c r="Q11" s="18">
        <v>0</v>
      </c>
      <c r="R11" s="18">
        <v>0</v>
      </c>
      <c r="S11" s="5">
        <v>199626</v>
      </c>
      <c r="T11" s="18">
        <v>192995</v>
      </c>
      <c r="U11" s="18">
        <v>6631</v>
      </c>
      <c r="V11" s="18">
        <v>178683</v>
      </c>
      <c r="W11" s="18">
        <v>107570</v>
      </c>
      <c r="X11" s="18">
        <v>71113</v>
      </c>
      <c r="Y11" s="18">
        <v>55252</v>
      </c>
      <c r="Z11" s="18">
        <v>1480</v>
      </c>
      <c r="AA11" s="18">
        <v>53772</v>
      </c>
      <c r="AB11" s="18">
        <v>35208</v>
      </c>
      <c r="AC11" s="18">
        <v>18564</v>
      </c>
      <c r="AD11" s="18">
        <v>83</v>
      </c>
      <c r="AE11" s="18">
        <v>298</v>
      </c>
    </row>
    <row r="12" spans="1:31" ht="29" x14ac:dyDescent="0.2">
      <c r="A12" s="14" t="s">
        <v>69</v>
      </c>
      <c r="B12" s="19" t="s">
        <v>37</v>
      </c>
      <c r="C12" s="19" t="s">
        <v>38</v>
      </c>
      <c r="D12" s="20" t="s">
        <v>70</v>
      </c>
      <c r="E12" s="21" t="s">
        <v>71</v>
      </c>
      <c r="F12" s="21" t="s">
        <v>72</v>
      </c>
      <c r="G12" s="21" t="s">
        <v>42</v>
      </c>
      <c r="H12" s="19" t="s">
        <v>43</v>
      </c>
      <c r="I12" s="22">
        <v>240663</v>
      </c>
      <c r="J12" s="22">
        <v>202603</v>
      </c>
      <c r="K12" s="22">
        <v>38060</v>
      </c>
      <c r="L12" s="22">
        <v>49391</v>
      </c>
      <c r="M12" s="22">
        <v>527</v>
      </c>
      <c r="N12" s="22">
        <v>48864</v>
      </c>
      <c r="O12" s="22">
        <v>10804</v>
      </c>
      <c r="P12" s="22">
        <v>0</v>
      </c>
      <c r="Q12" s="22">
        <v>7715</v>
      </c>
      <c r="R12" s="22">
        <v>0</v>
      </c>
      <c r="S12" s="22">
        <v>184084</v>
      </c>
      <c r="T12" s="7">
        <v>184084</v>
      </c>
      <c r="U12" s="22">
        <v>0</v>
      </c>
      <c r="V12" s="22">
        <v>172208</v>
      </c>
      <c r="W12" s="22">
        <v>122340</v>
      </c>
      <c r="X12" s="22">
        <v>49868</v>
      </c>
      <c r="Y12" s="22">
        <v>68455</v>
      </c>
      <c r="Z12" s="22">
        <v>30335</v>
      </c>
      <c r="AA12" s="22">
        <v>38120</v>
      </c>
      <c r="AB12" s="22">
        <v>38060</v>
      </c>
      <c r="AC12" s="22">
        <v>60</v>
      </c>
      <c r="AD12" s="22">
        <v>97</v>
      </c>
      <c r="AE12" s="22">
        <v>339</v>
      </c>
    </row>
    <row r="16" spans="1:31" ht="16" x14ac:dyDescent="0.2">
      <c r="I16" s="48"/>
    </row>
  </sheetData>
  <mergeCells count="5">
    <mergeCell ref="L1:O1"/>
    <mergeCell ref="P1:R1"/>
    <mergeCell ref="S1:U1"/>
    <mergeCell ref="I1:K1"/>
    <mergeCell ref="V1:X1"/>
  </mergeCells>
  <hyperlinks>
    <hyperlink ref="A3" r:id="rId1" xr:uid="{F1301673-E9A4-4844-A294-119AF5F7FDA3}"/>
    <hyperlink ref="A4" r:id="rId2" xr:uid="{05799FBB-4C84-F64A-AD32-460102546C4C}"/>
    <hyperlink ref="A5" r:id="rId3" xr:uid="{F9F39074-4E09-EA40-9B30-E18810CAAD81}"/>
    <hyperlink ref="A6" r:id="rId4" xr:uid="{49F7E0BD-95DB-5F4E-B7CC-D417529E0825}"/>
    <hyperlink ref="A7" r:id="rId5" xr:uid="{BDE448FF-067F-0349-9D19-2B6BDC8E577A}"/>
    <hyperlink ref="A8" r:id="rId6" xr:uid="{6208773A-B04E-3D40-99F6-3EA6589EFF94}"/>
    <hyperlink ref="A9" r:id="rId7" xr:uid="{CA486DA1-5F73-7F43-AB87-36C6ECC05CF1}"/>
    <hyperlink ref="A10" r:id="rId8" xr:uid="{964316ED-3951-A94C-A926-138A3B335AAB}"/>
    <hyperlink ref="A11" r:id="rId9" xr:uid="{1EBF8F58-9D7C-A145-8476-6E7862CF0FC2}"/>
    <hyperlink ref="A12" r:id="rId10" xr:uid="{D38DD804-2519-B748-8BFD-16B144E0948F}"/>
  </hyperlinks>
  <pageMargins left="0.75" right="0.75" top="1" bottom="1" header="0.511811023622047" footer="0.511811023622047"/>
  <pageSetup paperSize="9" orientation="portrait" horizontalDpi="300" verticalDpi="300"/>
  <ignoredErrors>
    <ignoredError sqref="E3:F12" numberStoredAsText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showGridLines="0" zoomScale="135" zoomScaleNormal="100" workbookViewId="0">
      <selection activeCell="A15" sqref="A15"/>
    </sheetView>
  </sheetViews>
  <sheetFormatPr baseColWidth="10" defaultColWidth="8.6640625" defaultRowHeight="15" x14ac:dyDescent="0.2"/>
  <cols>
    <col min="1" max="1" width="22" customWidth="1"/>
    <col min="2" max="2" width="19.33203125" customWidth="1"/>
    <col min="3" max="3" width="18.83203125" customWidth="1"/>
    <col min="4" max="4" width="23.5" customWidth="1"/>
    <col min="5" max="5" width="23.83203125" customWidth="1"/>
    <col min="6" max="6" width="24.33203125" customWidth="1"/>
    <col min="7" max="7" width="24.1640625" customWidth="1"/>
    <col min="8" max="8" width="17" customWidth="1"/>
    <col min="9" max="9" width="28.5" style="30" customWidth="1"/>
    <col min="10" max="10" width="60.5" customWidth="1"/>
    <col min="11" max="11" width="47.33203125" customWidth="1"/>
    <col min="12" max="12" width="56.5" customWidth="1"/>
  </cols>
  <sheetData>
    <row r="1" spans="1:12" ht="25.5" customHeight="1" x14ac:dyDescent="0.2">
      <c r="A1" s="36" t="s">
        <v>73</v>
      </c>
      <c r="B1" s="36" t="s">
        <v>74</v>
      </c>
      <c r="C1" s="36" t="s">
        <v>75</v>
      </c>
      <c r="D1" s="36" t="s">
        <v>76</v>
      </c>
      <c r="E1" s="36" t="s">
        <v>77</v>
      </c>
      <c r="F1" s="36" t="s">
        <v>78</v>
      </c>
      <c r="G1" s="36" t="s">
        <v>79</v>
      </c>
      <c r="H1" s="36" t="s">
        <v>80</v>
      </c>
      <c r="I1" s="37" t="s">
        <v>81</v>
      </c>
      <c r="J1" s="36" t="s">
        <v>82</v>
      </c>
      <c r="K1" s="36" t="s">
        <v>83</v>
      </c>
      <c r="L1" s="36" t="s">
        <v>84</v>
      </c>
    </row>
    <row r="2" spans="1:12" x14ac:dyDescent="0.2">
      <c r="A2" s="23" t="str">
        <f>'Accounts (wide)'!A3</f>
        <v>MAD.d 1703_p102</v>
      </c>
      <c r="B2" s="21" t="str">
        <f>'Accounts (wide)'!E3</f>
        <v>1615</v>
      </c>
      <c r="C2" s="38">
        <f>'Accounts (wide)'!L3-('Accounts (wide)'!M3+'Accounts (wide)'!N3)</f>
        <v>0</v>
      </c>
      <c r="D2" s="38">
        <f>'Accounts (wide)'!S3-('Accounts (wide)'!T3+'Accounts (wide)'!U3)</f>
        <v>0</v>
      </c>
      <c r="E2" s="38">
        <f>'Accounts (wide)'!I3-('Accounts (wide)'!J3+'Accounts (wide)'!K3)</f>
        <v>0</v>
      </c>
      <c r="F2" s="38">
        <f>'Accounts (wide)'!I3-('Accounts (wide)'!L3+'Accounts (wide)'!P3+'Accounts (wide)'!Q3+'Accounts (wide)'!R3+'Accounts (wide)'!S3)</f>
        <v>0</v>
      </c>
      <c r="G2" s="38">
        <f>'Accounts (wide)'!K3-('Accounts (wide)'!N3-'Accounts (wide)'!O3+'Accounts (wide)'!U3)</f>
        <v>0</v>
      </c>
      <c r="H2" s="38">
        <f>'Accounts (wide)'!V3-('Accounts (wide)'!W3+'Accounts (wide)'!X3)</f>
        <v>0</v>
      </c>
      <c r="I2" s="38">
        <f>'Accounts (wide)'!Y3-('Accounts (wide)'!I3-'Accounts (wide)'!V3)</f>
        <v>0</v>
      </c>
      <c r="J2" s="38">
        <f>'Accounts (wide)'!AA3-('Accounts (wide)'!Y3-'Accounts (wide)'!Z3)</f>
        <v>0</v>
      </c>
      <c r="K2" s="38">
        <f>'Accounts (wide)'!AC3-('Accounts (wide)'!AA3-'Accounts (wide)'!AB3)</f>
        <v>0</v>
      </c>
      <c r="L2" s="38">
        <f>'Accounts (wide)'!AB3-'Accounts (wide)'!K3</f>
        <v>0</v>
      </c>
    </row>
    <row r="3" spans="1:12" x14ac:dyDescent="0.2">
      <c r="A3" s="23" t="str">
        <f>'Accounts (wide)'!A4</f>
        <v>MAD.d 1703_p99</v>
      </c>
      <c r="B3" s="21" t="str">
        <f>'Accounts (wide)'!E4</f>
        <v>1616</v>
      </c>
      <c r="C3" s="38">
        <f>'Accounts (wide)'!L4-('Accounts (wide)'!M4+'Accounts (wide)'!N4)</f>
        <v>0</v>
      </c>
      <c r="D3" s="38">
        <f>'Accounts (wide)'!S4-('Accounts (wide)'!T4+'Accounts (wide)'!U4)</f>
        <v>0</v>
      </c>
      <c r="E3" s="38">
        <f>'Accounts (wide)'!I4-('Accounts (wide)'!J4+'Accounts (wide)'!K4)</f>
        <v>0</v>
      </c>
      <c r="F3" s="38">
        <f>'Accounts (wide)'!I4-('Accounts (wide)'!L4+'Accounts (wide)'!P4+'Accounts (wide)'!Q4+'Accounts (wide)'!R4+'Accounts (wide)'!S4)</f>
        <v>0</v>
      </c>
      <c r="G3" s="38">
        <f>'Accounts (wide)'!K4-('Accounts (wide)'!N4-'Accounts (wide)'!O4+'Accounts (wide)'!U4)</f>
        <v>0</v>
      </c>
      <c r="H3" s="38">
        <f>'Accounts (wide)'!V4-('Accounts (wide)'!W4+'Accounts (wide)'!X4)</f>
        <v>0</v>
      </c>
      <c r="I3" s="38">
        <f>'Accounts (wide)'!Y4-('Accounts (wide)'!I4-'Accounts (wide)'!V4)</f>
        <v>0</v>
      </c>
      <c r="J3" s="38">
        <f>'Accounts (wide)'!AA4-('Accounts (wide)'!Y4-'Accounts (wide)'!Z4)</f>
        <v>0</v>
      </c>
      <c r="K3" s="38">
        <f>'Accounts (wide)'!AC4-('Accounts (wide)'!AA4-'Accounts (wide)'!AB4)</f>
        <v>0</v>
      </c>
      <c r="L3" s="38">
        <f>'Accounts (wide)'!AB4-'Accounts (wide)'!K4</f>
        <v>0</v>
      </c>
    </row>
    <row r="4" spans="1:12" x14ac:dyDescent="0.2">
      <c r="A4" s="23" t="str">
        <f>'Accounts (wide)'!A5</f>
        <v>MAD.d 1703_p95</v>
      </c>
      <c r="B4" s="21" t="str">
        <f>'Accounts (wide)'!E5</f>
        <v>1617</v>
      </c>
      <c r="C4" s="38">
        <f>'Accounts (wide)'!L5-('Accounts (wide)'!M5+'Accounts (wide)'!N5)</f>
        <v>0</v>
      </c>
      <c r="D4" s="38">
        <f>'Accounts (wide)'!S5-('Accounts (wide)'!T5+'Accounts (wide)'!U5)</f>
        <v>0</v>
      </c>
      <c r="E4" s="38">
        <f>'Accounts (wide)'!I5-('Accounts (wide)'!J5+'Accounts (wide)'!K5)</f>
        <v>0</v>
      </c>
      <c r="F4" s="38">
        <f>'Accounts (wide)'!I5-('Accounts (wide)'!L5+'Accounts (wide)'!P5+'Accounts (wide)'!Q5+'Accounts (wide)'!R5+'Accounts (wide)'!S5)</f>
        <v>0</v>
      </c>
      <c r="G4" s="38">
        <f>'Accounts (wide)'!K5-('Accounts (wide)'!N5-'Accounts (wide)'!O5+'Accounts (wide)'!U5)</f>
        <v>0</v>
      </c>
      <c r="H4" s="38">
        <f>'Accounts (wide)'!V5-('Accounts (wide)'!W5+'Accounts (wide)'!X5)</f>
        <v>0</v>
      </c>
      <c r="I4" s="38">
        <f>'Accounts (wide)'!Y5-('Accounts (wide)'!I5-'Accounts (wide)'!V5)</f>
        <v>0</v>
      </c>
      <c r="J4" s="38">
        <f>'Accounts (wide)'!AA5-('Accounts (wide)'!Y5-'Accounts (wide)'!Z5)</f>
        <v>0</v>
      </c>
      <c r="K4" s="38">
        <f>'Accounts (wide)'!AC5-('Accounts (wide)'!AA5-'Accounts (wide)'!AB5)</f>
        <v>0</v>
      </c>
      <c r="L4" s="38">
        <f>'Accounts (wide)'!AB5-'Accounts (wide)'!K5</f>
        <v>0</v>
      </c>
    </row>
    <row r="5" spans="1:12" x14ac:dyDescent="0.2">
      <c r="A5" s="23" t="str">
        <f>'Accounts (wide)'!A6</f>
        <v>MAD.d 1703_p92</v>
      </c>
      <c r="B5" s="21" t="str">
        <f>'Accounts (wide)'!E6</f>
        <v>1617</v>
      </c>
      <c r="C5" s="38">
        <f>'Accounts (wide)'!L6-('Accounts (wide)'!M6+'Accounts (wide)'!N6)</f>
        <v>0</v>
      </c>
      <c r="D5" s="38">
        <f>'Accounts (wide)'!S6-('Accounts (wide)'!T6+'Accounts (wide)'!U6)</f>
        <v>0</v>
      </c>
      <c r="E5" s="38">
        <f>'Accounts (wide)'!I6-('Accounts (wide)'!J6+'Accounts (wide)'!K6)</f>
        <v>0</v>
      </c>
      <c r="F5" s="38">
        <f>'Accounts (wide)'!I6-('Accounts (wide)'!L6+'Accounts (wide)'!P6+'Accounts (wide)'!Q6+'Accounts (wide)'!R6+'Accounts (wide)'!S6)</f>
        <v>0</v>
      </c>
      <c r="G5" s="38">
        <f>'Accounts (wide)'!K6-('Accounts (wide)'!N6-'Accounts (wide)'!O6+'Accounts (wide)'!U6)</f>
        <v>0</v>
      </c>
      <c r="H5" s="38">
        <f>'Accounts (wide)'!V6-('Accounts (wide)'!W6+'Accounts (wide)'!X6)</f>
        <v>0</v>
      </c>
      <c r="I5" s="38">
        <f>'Accounts (wide)'!Y6-('Accounts (wide)'!I6-'Accounts (wide)'!V6)</f>
        <v>0</v>
      </c>
      <c r="J5" s="38">
        <f>'Accounts (wide)'!AA6-('Accounts (wide)'!Y6-'Accounts (wide)'!Z6)</f>
        <v>0</v>
      </c>
      <c r="K5" s="38">
        <f>'Accounts (wide)'!AC6-('Accounts (wide)'!AA6-'Accounts (wide)'!AB6)</f>
        <v>0</v>
      </c>
      <c r="L5" s="38">
        <f>'Accounts (wide)'!AB6-'Accounts (wide)'!K6</f>
        <v>0</v>
      </c>
    </row>
    <row r="6" spans="1:12" x14ac:dyDescent="0.2">
      <c r="A6" s="23" t="str">
        <f>'Accounts (wide)'!A7</f>
        <v>MAD.d 1703_p88</v>
      </c>
      <c r="B6" s="21" t="str">
        <f>'Accounts (wide)'!E7</f>
        <v>1618</v>
      </c>
      <c r="C6" s="38">
        <f>'Accounts (wide)'!L7-('Accounts (wide)'!M7+'Accounts (wide)'!N7)</f>
        <v>0</v>
      </c>
      <c r="D6" s="38">
        <f>'Accounts (wide)'!S7-('Accounts (wide)'!T7+'Accounts (wide)'!U7)</f>
        <v>0</v>
      </c>
      <c r="E6" s="38">
        <f>'Accounts (wide)'!I7-('Accounts (wide)'!J7+'Accounts (wide)'!K7)</f>
        <v>0</v>
      </c>
      <c r="F6" s="38">
        <f>'Accounts (wide)'!I7-('Accounts (wide)'!L7+'Accounts (wide)'!P7+'Accounts (wide)'!Q7+'Accounts (wide)'!R7+'Accounts (wide)'!S7)</f>
        <v>0</v>
      </c>
      <c r="G6" s="38">
        <f>'Accounts (wide)'!K7-('Accounts (wide)'!N7-'Accounts (wide)'!O7+'Accounts (wide)'!U7)</f>
        <v>0</v>
      </c>
      <c r="H6" s="38">
        <f>'Accounts (wide)'!V7-('Accounts (wide)'!W7+'Accounts (wide)'!X7)</f>
        <v>0</v>
      </c>
      <c r="I6" s="39">
        <f>'Accounts (wide)'!Y7-('Accounts (wide)'!I7-'Accounts (wide)'!V7)</f>
        <v>-4100</v>
      </c>
      <c r="J6" s="38">
        <f>'Accounts (wide)'!AA7-('Accounts (wide)'!Y7-'Accounts (wide)'!Z7)</f>
        <v>0</v>
      </c>
      <c r="K6" s="38">
        <f>'Accounts (wide)'!AC7-('Accounts (wide)'!AA7-'Accounts (wide)'!AB7)</f>
        <v>0</v>
      </c>
      <c r="L6" s="38">
        <f>'Accounts (wide)'!AB7-'Accounts (wide)'!K7</f>
        <v>0</v>
      </c>
    </row>
    <row r="7" spans="1:12" x14ac:dyDescent="0.2">
      <c r="A7" s="23" t="str">
        <f>'Accounts (wide)'!A8</f>
        <v>MAD.d 1703_p85</v>
      </c>
      <c r="B7" s="21" t="str">
        <f>'Accounts (wide)'!E8</f>
        <v>1619</v>
      </c>
      <c r="C7" s="38">
        <f>'Accounts (wide)'!L8-('Accounts (wide)'!M8+'Accounts (wide)'!N8)</f>
        <v>0</v>
      </c>
      <c r="D7" s="38">
        <f>'Accounts (wide)'!S8-('Accounts (wide)'!T8+'Accounts (wide)'!U8)</f>
        <v>0</v>
      </c>
      <c r="E7" s="38">
        <f>'Accounts (wide)'!I8-('Accounts (wide)'!J8+'Accounts (wide)'!K8)</f>
        <v>0</v>
      </c>
      <c r="F7" s="38">
        <f>'Accounts (wide)'!I8-('Accounts (wide)'!L8+'Accounts (wide)'!P8+'Accounts (wide)'!Q8+'Accounts (wide)'!R8+'Accounts (wide)'!S8)</f>
        <v>0</v>
      </c>
      <c r="G7" s="38">
        <f>'Accounts (wide)'!K8-('Accounts (wide)'!N8-'Accounts (wide)'!O8+'Accounts (wide)'!U8)</f>
        <v>0</v>
      </c>
      <c r="H7" s="38">
        <f>'Accounts (wide)'!V8-('Accounts (wide)'!W8+'Accounts (wide)'!X8)</f>
        <v>0</v>
      </c>
      <c r="I7" s="38">
        <f>'Accounts (wide)'!Y8-('Accounts (wide)'!I8-'Accounts (wide)'!V8)</f>
        <v>0</v>
      </c>
      <c r="J7" s="38">
        <f>'Accounts (wide)'!AA8-('Accounts (wide)'!Y8-'Accounts (wide)'!Z8)</f>
        <v>0</v>
      </c>
      <c r="K7" s="38">
        <f>'Accounts (wide)'!AC8-('Accounts (wide)'!AA8-'Accounts (wide)'!AB8)</f>
        <v>0</v>
      </c>
      <c r="L7" s="38">
        <f>'Accounts (wide)'!AB8-'Accounts (wide)'!K8</f>
        <v>0</v>
      </c>
    </row>
    <row r="8" spans="1:12" x14ac:dyDescent="0.2">
      <c r="A8" s="23" t="str">
        <f>'Accounts (wide)'!A9</f>
        <v>MAD.d 1703_p79</v>
      </c>
      <c r="B8" s="21" t="str">
        <f>'Accounts (wide)'!E9</f>
        <v>1622</v>
      </c>
      <c r="C8" s="38">
        <f>'Accounts (wide)'!L9-('Accounts (wide)'!M9+'Accounts (wide)'!N9)</f>
        <v>0</v>
      </c>
      <c r="D8" s="38">
        <f>'Accounts (wide)'!S9-('Accounts (wide)'!T9+'Accounts (wide)'!U9)</f>
        <v>0</v>
      </c>
      <c r="E8" s="38">
        <f>'Accounts (wide)'!I9-('Accounts (wide)'!J9+'Accounts (wide)'!K9)</f>
        <v>0</v>
      </c>
      <c r="F8" s="38">
        <f>'Accounts (wide)'!I9-('Accounts (wide)'!L9+'Accounts (wide)'!P9+'Accounts (wide)'!Q9+'Accounts (wide)'!R9+'Accounts (wide)'!S9)</f>
        <v>0</v>
      </c>
      <c r="G8" s="38">
        <f>'Accounts (wide)'!K9-('Accounts (wide)'!N9-'Accounts (wide)'!O9+'Accounts (wide)'!U9)</f>
        <v>0</v>
      </c>
      <c r="H8" s="38">
        <f>'Accounts (wide)'!V9-('Accounts (wide)'!W9+'Accounts (wide)'!X9)</f>
        <v>0</v>
      </c>
      <c r="I8" s="38">
        <f>'Accounts (wide)'!Y9-('Accounts (wide)'!I9-'Accounts (wide)'!V9)</f>
        <v>0</v>
      </c>
      <c r="J8" s="38">
        <f>'Accounts (wide)'!AA9-('Accounts (wide)'!Y9-'Accounts (wide)'!Z9)</f>
        <v>0</v>
      </c>
      <c r="K8" s="38">
        <f>'Accounts (wide)'!AC9-('Accounts (wide)'!AA9-'Accounts (wide)'!AB9)</f>
        <v>0</v>
      </c>
      <c r="L8" s="39">
        <f>'Accounts (wide)'!AB9-'Accounts (wide)'!K9</f>
        <v>-500</v>
      </c>
    </row>
    <row r="9" spans="1:12" x14ac:dyDescent="0.2">
      <c r="A9" s="23" t="str">
        <f>'Accounts (wide)'!A10</f>
        <v>MAD.d 1703_p76</v>
      </c>
      <c r="B9" s="21" t="str">
        <f>'Accounts (wide)'!E10</f>
        <v>1623</v>
      </c>
      <c r="C9" s="38">
        <f>'Accounts (wide)'!L10-('Accounts (wide)'!M10+'Accounts (wide)'!N10)</f>
        <v>0</v>
      </c>
      <c r="D9" s="38">
        <f>'Accounts (wide)'!S10-('Accounts (wide)'!T10+'Accounts (wide)'!U10)</f>
        <v>0</v>
      </c>
      <c r="E9" s="38">
        <f>'Accounts (wide)'!I10-('Accounts (wide)'!J10+'Accounts (wide)'!K10)</f>
        <v>0</v>
      </c>
      <c r="F9" s="38">
        <f>'Accounts (wide)'!I10-('Accounts (wide)'!L10+'Accounts (wide)'!P10+'Accounts (wide)'!Q10+'Accounts (wide)'!R10+'Accounts (wide)'!S10)</f>
        <v>0</v>
      </c>
      <c r="G9" s="38">
        <f>'Accounts (wide)'!K10-('Accounts (wide)'!N10-'Accounts (wide)'!O10+'Accounts (wide)'!U10)</f>
        <v>0</v>
      </c>
      <c r="H9" s="38">
        <f>'Accounts (wide)'!V10-('Accounts (wide)'!W10+'Accounts (wide)'!X10)</f>
        <v>0</v>
      </c>
      <c r="I9" s="38">
        <f>'Accounts (wide)'!Y10-('Accounts (wide)'!I10-'Accounts (wide)'!V10)</f>
        <v>0</v>
      </c>
      <c r="J9" s="38">
        <f>'Accounts (wide)'!AA10-('Accounts (wide)'!Y10-'Accounts (wide)'!Z10)</f>
        <v>0</v>
      </c>
      <c r="K9" s="38">
        <f>'Accounts (wide)'!AC10-('Accounts (wide)'!AA10-'Accounts (wide)'!AB10)</f>
        <v>0</v>
      </c>
      <c r="L9" s="39">
        <f>'Accounts (wide)'!AB10-'Accounts (wide)'!K10</f>
        <v>20</v>
      </c>
    </row>
    <row r="10" spans="1:12" x14ac:dyDescent="0.2">
      <c r="A10" s="23" t="str">
        <f>'Accounts (wide)'!A11</f>
        <v>MAD.d 1703_p51</v>
      </c>
      <c r="B10" s="21" t="str">
        <f>'Accounts (wide)'!E11</f>
        <v>1629</v>
      </c>
      <c r="C10" s="38">
        <f>'Accounts (wide)'!L11-('Accounts (wide)'!M11+'Accounts (wide)'!N11)</f>
        <v>0</v>
      </c>
      <c r="D10" s="38">
        <f>'Accounts (wide)'!S11-('Accounts (wide)'!T11+'Accounts (wide)'!U11)</f>
        <v>0</v>
      </c>
      <c r="E10" s="38">
        <f>'Accounts (wide)'!I11-('Accounts (wide)'!J11+'Accounts (wide)'!K11)</f>
        <v>0</v>
      </c>
      <c r="F10" s="38">
        <f>'Accounts (wide)'!I11-('Accounts (wide)'!L11+'Accounts (wide)'!P11+'Accounts (wide)'!Q11+'Accounts (wide)'!R11+'Accounts (wide)'!S11)</f>
        <v>0</v>
      </c>
      <c r="G10" s="38">
        <f>'Accounts (wide)'!K11-('Accounts (wide)'!N11-'Accounts (wide)'!O11+'Accounts (wide)'!U11)</f>
        <v>0</v>
      </c>
      <c r="H10" s="38">
        <f>'Accounts (wide)'!V11-('Accounts (wide)'!W11+'Accounts (wide)'!X11)</f>
        <v>0</v>
      </c>
      <c r="I10" s="38">
        <f>'Accounts (wide)'!Y11-('Accounts (wide)'!I11-'Accounts (wide)'!V11)</f>
        <v>0</v>
      </c>
      <c r="J10" s="38">
        <f>'Accounts (wide)'!AA11-('Accounts (wide)'!Y11-'Accounts (wide)'!Z11)</f>
        <v>0</v>
      </c>
      <c r="K10" s="38">
        <f>'Accounts (wide)'!AC11-('Accounts (wide)'!AA11-'Accounts (wide)'!AB11)</f>
        <v>0</v>
      </c>
      <c r="L10" s="39">
        <f>'Accounts (wide)'!AB11-'Accounts (wide)'!K11</f>
        <v>-40</v>
      </c>
    </row>
    <row r="11" spans="1:12" x14ac:dyDescent="0.2">
      <c r="A11" s="23" t="str">
        <f>'Accounts (wide)'!A12</f>
        <v>MAD.d 1703_p24</v>
      </c>
      <c r="B11" s="21" t="str">
        <f>'Accounts (wide)'!E12</f>
        <v>1635</v>
      </c>
      <c r="C11" s="38">
        <f>'Accounts (wide)'!L12-('Accounts (wide)'!M12+'Accounts (wide)'!N12)</f>
        <v>0</v>
      </c>
      <c r="D11" s="38">
        <f>'Accounts (wide)'!S12-('Accounts (wide)'!T12+'Accounts (wide)'!U12)</f>
        <v>0</v>
      </c>
      <c r="E11" s="38">
        <f>'Accounts (wide)'!I12-('Accounts (wide)'!J12+'Accounts (wide)'!K12)</f>
        <v>0</v>
      </c>
      <c r="F11" s="39">
        <f>'Accounts (wide)'!I12-('Accounts (wide)'!L12+'Accounts (wide)'!P12+'Accounts (wide)'!Q12+'Accounts (wide)'!R12+'Accounts (wide)'!S12)</f>
        <v>-527</v>
      </c>
      <c r="G11" s="38">
        <f>'Accounts (wide)'!K12-('Accounts (wide)'!N12-'Accounts (wide)'!O12+'Accounts (wide)'!U12)</f>
        <v>0</v>
      </c>
      <c r="H11" s="38">
        <f>'Accounts (wide)'!V12-('Accounts (wide)'!W12+'Accounts (wide)'!X12)</f>
        <v>0</v>
      </c>
      <c r="I11" s="38">
        <f>'Accounts (wide)'!Y12-('Accounts (wide)'!I12-'Accounts (wide)'!V12)</f>
        <v>0</v>
      </c>
      <c r="J11" s="38">
        <f>'Accounts (wide)'!AA12-('Accounts (wide)'!Y12-'Accounts (wide)'!Z12)</f>
        <v>0</v>
      </c>
      <c r="K11" s="38">
        <f>'Accounts (wide)'!AC12-('Accounts (wide)'!AA12-'Accounts (wide)'!AB12)</f>
        <v>0</v>
      </c>
      <c r="L11" s="38">
        <f>'Accounts (wide)'!AB12-'Accounts (wide)'!K12</f>
        <v>0</v>
      </c>
    </row>
    <row r="13" spans="1:12" x14ac:dyDescent="0.2">
      <c r="A13" s="1"/>
    </row>
    <row r="15" spans="1:12" x14ac:dyDescent="0.2">
      <c r="A15" s="27" t="s">
        <v>85</v>
      </c>
      <c r="B15" s="28" t="s">
        <v>86</v>
      </c>
      <c r="C15" s="28"/>
    </row>
    <row r="16" spans="1:12" x14ac:dyDescent="0.2">
      <c r="A16" s="27" t="s">
        <v>87</v>
      </c>
      <c r="B16" s="28" t="s">
        <v>88</v>
      </c>
      <c r="C16" s="28"/>
    </row>
    <row r="17" spans="1:3" x14ac:dyDescent="0.2">
      <c r="A17" s="27" t="s">
        <v>89</v>
      </c>
      <c r="B17" s="28" t="s">
        <v>90</v>
      </c>
      <c r="C17" s="28"/>
    </row>
    <row r="18" spans="1:3" x14ac:dyDescent="0.2">
      <c r="A18" s="27" t="s">
        <v>91</v>
      </c>
      <c r="B18" s="28" t="s">
        <v>92</v>
      </c>
      <c r="C18" s="28"/>
    </row>
    <row r="19" spans="1:3" x14ac:dyDescent="0.2">
      <c r="A19" s="27" t="s">
        <v>93</v>
      </c>
      <c r="B19" s="28" t="s">
        <v>94</v>
      </c>
      <c r="C19" s="28"/>
    </row>
    <row r="20" spans="1:3" x14ac:dyDescent="0.2">
      <c r="A20" s="27" t="s">
        <v>95</v>
      </c>
      <c r="B20" s="28" t="s">
        <v>96</v>
      </c>
      <c r="C20" s="28"/>
    </row>
    <row r="21" spans="1:3" x14ac:dyDescent="0.2">
      <c r="A21" s="27" t="s">
        <v>97</v>
      </c>
      <c r="B21" s="28" t="s">
        <v>98</v>
      </c>
      <c r="C21" s="28"/>
    </row>
    <row r="22" spans="1:3" x14ac:dyDescent="0.2">
      <c r="A22" s="27" t="s">
        <v>99</v>
      </c>
      <c r="B22" s="28" t="s">
        <v>100</v>
      </c>
      <c r="C22" s="28"/>
    </row>
    <row r="23" spans="1:3" x14ac:dyDescent="0.2">
      <c r="A23" s="27" t="s">
        <v>101</v>
      </c>
      <c r="B23" s="28" t="s">
        <v>102</v>
      </c>
      <c r="C23" s="28"/>
    </row>
    <row r="24" spans="1:3" x14ac:dyDescent="0.2">
      <c r="A24" s="27" t="s">
        <v>103</v>
      </c>
      <c r="B24" s="28" t="s">
        <v>104</v>
      </c>
      <c r="C24" s="28"/>
    </row>
    <row r="25" spans="1:3" x14ac:dyDescent="0.2">
      <c r="A25" s="29"/>
      <c r="B25" s="28"/>
      <c r="C25" s="28"/>
    </row>
    <row r="26" spans="1:3" x14ac:dyDescent="0.2">
      <c r="A26" s="26"/>
    </row>
    <row r="27" spans="1:3" x14ac:dyDescent="0.2">
      <c r="A27" s="26"/>
    </row>
    <row r="28" spans="1:3" x14ac:dyDescent="0.2">
      <c r="A28" s="26"/>
    </row>
    <row r="29" spans="1:3" x14ac:dyDescent="0.2">
      <c r="A29" s="26"/>
    </row>
  </sheetData>
  <pageMargins left="0.75" right="0.75" top="1" bottom="1" header="0.511811023622047" footer="0.511811023622047"/>
  <pageSetup paperSize="9" orientation="portrait" horizontalDpi="300" verticalDpi="300"/>
  <ignoredErrors>
    <ignoredError sqref="A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="162"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7" customWidth="1"/>
    <col min="2" max="2" width="24.83203125" customWidth="1"/>
    <col min="3" max="3" width="33.33203125" customWidth="1"/>
    <col min="4" max="4" width="34" customWidth="1"/>
    <col min="5" max="5" width="40" customWidth="1"/>
  </cols>
  <sheetData>
    <row r="1" spans="1:5" x14ac:dyDescent="0.2">
      <c r="A1" s="12" t="s">
        <v>105</v>
      </c>
      <c r="B1" s="12" t="s">
        <v>106</v>
      </c>
      <c r="C1" s="12" t="s">
        <v>107</v>
      </c>
      <c r="D1" s="12" t="s">
        <v>108</v>
      </c>
      <c r="E1" s="12" t="s">
        <v>109</v>
      </c>
    </row>
    <row r="2" spans="1:5" x14ac:dyDescent="0.2">
      <c r="A2" s="41" t="s">
        <v>110</v>
      </c>
      <c r="B2" s="10" t="s">
        <v>111</v>
      </c>
      <c r="C2" s="11" t="s">
        <v>112</v>
      </c>
      <c r="D2" s="33" t="s">
        <v>113</v>
      </c>
      <c r="E2" s="11" t="s">
        <v>114</v>
      </c>
    </row>
    <row r="3" spans="1:5" x14ac:dyDescent="0.2">
      <c r="A3" s="41" t="s">
        <v>115</v>
      </c>
      <c r="B3" s="32" t="s">
        <v>111</v>
      </c>
      <c r="C3" s="9" t="s">
        <v>116</v>
      </c>
      <c r="D3" s="31" t="s">
        <v>117</v>
      </c>
      <c r="E3" s="9" t="s">
        <v>118</v>
      </c>
    </row>
    <row r="4" spans="1:5" x14ac:dyDescent="0.2">
      <c r="A4" s="41" t="s">
        <v>119</v>
      </c>
      <c r="B4" s="10" t="s">
        <v>111</v>
      </c>
      <c r="C4" s="11" t="s">
        <v>120</v>
      </c>
      <c r="D4" s="33" t="s">
        <v>121</v>
      </c>
      <c r="E4" s="11" t="s">
        <v>122</v>
      </c>
    </row>
    <row r="5" spans="1:5" x14ac:dyDescent="0.2">
      <c r="A5" s="41" t="s">
        <v>123</v>
      </c>
      <c r="B5" s="10" t="s">
        <v>124</v>
      </c>
      <c r="C5" s="10" t="s">
        <v>125</v>
      </c>
      <c r="D5" s="10" t="s">
        <v>126</v>
      </c>
      <c r="E5" s="10" t="s">
        <v>127</v>
      </c>
    </row>
    <row r="6" spans="1:5" x14ac:dyDescent="0.2">
      <c r="A6" s="41" t="s">
        <v>128</v>
      </c>
      <c r="B6" s="32" t="s">
        <v>124</v>
      </c>
      <c r="C6" s="9" t="s">
        <v>129</v>
      </c>
      <c r="D6" s="9" t="s">
        <v>130</v>
      </c>
      <c r="E6" s="9" t="s">
        <v>131</v>
      </c>
    </row>
    <row r="7" spans="1:5" x14ac:dyDescent="0.2">
      <c r="A7" s="41" t="s">
        <v>132</v>
      </c>
      <c r="B7" s="10" t="s">
        <v>124</v>
      </c>
      <c r="C7" s="11" t="s">
        <v>133</v>
      </c>
      <c r="D7" s="11" t="s">
        <v>134</v>
      </c>
      <c r="E7" s="11"/>
    </row>
    <row r="8" spans="1:5" x14ac:dyDescent="0.2">
      <c r="A8" s="41" t="s">
        <v>135</v>
      </c>
      <c r="B8" s="24" t="s">
        <v>124</v>
      </c>
      <c r="C8" s="9" t="s">
        <v>136</v>
      </c>
      <c r="D8" s="9" t="s">
        <v>137</v>
      </c>
      <c r="E8" s="9"/>
    </row>
    <row r="9" spans="1:5" x14ac:dyDescent="0.2">
      <c r="A9" s="41" t="s">
        <v>138</v>
      </c>
      <c r="B9" s="10" t="s">
        <v>139</v>
      </c>
      <c r="C9" s="11" t="s">
        <v>140</v>
      </c>
      <c r="D9" s="25" t="s">
        <v>141</v>
      </c>
      <c r="E9" s="11"/>
    </row>
    <row r="10" spans="1:5" ht="28" x14ac:dyDescent="0.2">
      <c r="A10" s="41" t="s">
        <v>142</v>
      </c>
      <c r="B10" s="32" t="s">
        <v>139</v>
      </c>
      <c r="C10" s="9" t="s">
        <v>143</v>
      </c>
      <c r="D10" s="9" t="s">
        <v>144</v>
      </c>
      <c r="E10" s="9"/>
    </row>
    <row r="11" spans="1:5" ht="33" customHeight="1" x14ac:dyDescent="0.2">
      <c r="A11" s="41" t="s">
        <v>145</v>
      </c>
      <c r="B11" s="10" t="s">
        <v>139</v>
      </c>
      <c r="C11" s="25" t="s">
        <v>146</v>
      </c>
      <c r="D11" s="11" t="s">
        <v>147</v>
      </c>
      <c r="E11" s="11"/>
    </row>
    <row r="12" spans="1:5" x14ac:dyDescent="0.2">
      <c r="A12" s="41" t="s">
        <v>148</v>
      </c>
      <c r="B12" s="24" t="s">
        <v>149</v>
      </c>
      <c r="C12" s="9" t="s">
        <v>150</v>
      </c>
      <c r="D12" s="9" t="s">
        <v>151</v>
      </c>
      <c r="E12" s="9" t="s">
        <v>152</v>
      </c>
    </row>
    <row r="13" spans="1:5" x14ac:dyDescent="0.2">
      <c r="A13" s="41" t="s">
        <v>153</v>
      </c>
      <c r="B13" s="10" t="s">
        <v>149</v>
      </c>
      <c r="C13" s="11" t="s">
        <v>154</v>
      </c>
      <c r="D13" s="11" t="s">
        <v>155</v>
      </c>
      <c r="E13" s="11"/>
    </row>
    <row r="14" spans="1:5" x14ac:dyDescent="0.2">
      <c r="A14" s="41" t="s">
        <v>156</v>
      </c>
      <c r="B14" s="24" t="s">
        <v>149</v>
      </c>
      <c r="C14" s="9" t="s">
        <v>157</v>
      </c>
      <c r="D14" s="9" t="s">
        <v>158</v>
      </c>
      <c r="E14" s="9"/>
    </row>
    <row r="15" spans="1:5" x14ac:dyDescent="0.2">
      <c r="A15" s="41" t="s">
        <v>159</v>
      </c>
      <c r="B15" s="24" t="s">
        <v>160</v>
      </c>
      <c r="C15" s="9" t="s">
        <v>161</v>
      </c>
      <c r="D15" s="9" t="s">
        <v>162</v>
      </c>
      <c r="E15" s="9" t="s">
        <v>163</v>
      </c>
    </row>
    <row r="16" spans="1:5" x14ac:dyDescent="0.2">
      <c r="A16" s="41" t="s">
        <v>164</v>
      </c>
      <c r="B16" s="10" t="s">
        <v>160</v>
      </c>
      <c r="C16" s="11" t="s">
        <v>165</v>
      </c>
      <c r="D16" s="25" t="s">
        <v>166</v>
      </c>
      <c r="E16" s="11"/>
    </row>
    <row r="17" spans="1:5" x14ac:dyDescent="0.2">
      <c r="A17" s="41" t="s">
        <v>167</v>
      </c>
      <c r="B17" s="24" t="s">
        <v>160</v>
      </c>
      <c r="C17" s="9" t="s">
        <v>168</v>
      </c>
      <c r="D17" s="9" t="s">
        <v>169</v>
      </c>
      <c r="E17" s="9"/>
    </row>
    <row r="18" spans="1:5" x14ac:dyDescent="0.2">
      <c r="A18" s="41" t="s">
        <v>170</v>
      </c>
      <c r="B18" s="10" t="s">
        <v>171</v>
      </c>
      <c r="C18" s="11" t="s">
        <v>172</v>
      </c>
      <c r="D18" s="11" t="s">
        <v>173</v>
      </c>
      <c r="E18" s="11" t="s">
        <v>174</v>
      </c>
    </row>
    <row r="19" spans="1:5" x14ac:dyDescent="0.2">
      <c r="A19" s="41" t="s">
        <v>175</v>
      </c>
      <c r="B19" s="24" t="s">
        <v>176</v>
      </c>
      <c r="C19" s="9" t="s">
        <v>177</v>
      </c>
      <c r="D19" s="9" t="s">
        <v>178</v>
      </c>
      <c r="E19" s="9"/>
    </row>
    <row r="20" spans="1:5" x14ac:dyDescent="0.2">
      <c r="A20" s="41" t="s">
        <v>179</v>
      </c>
      <c r="B20" s="10" t="s">
        <v>171</v>
      </c>
      <c r="C20" s="11" t="s">
        <v>180</v>
      </c>
      <c r="D20" s="11" t="s">
        <v>181</v>
      </c>
      <c r="E20" s="11" t="s">
        <v>182</v>
      </c>
    </row>
    <row r="21" spans="1:5" x14ac:dyDescent="0.2">
      <c r="A21" s="41" t="s">
        <v>183</v>
      </c>
      <c r="B21" s="24" t="s">
        <v>176</v>
      </c>
      <c r="C21" s="9" t="s">
        <v>184</v>
      </c>
      <c r="D21" s="9" t="s">
        <v>185</v>
      </c>
      <c r="E21" s="40" t="s">
        <v>186</v>
      </c>
    </row>
    <row r="22" spans="1:5" x14ac:dyDescent="0.2">
      <c r="A22" s="41" t="s">
        <v>187</v>
      </c>
      <c r="B22" s="10" t="s">
        <v>171</v>
      </c>
      <c r="C22" s="11" t="s">
        <v>188</v>
      </c>
      <c r="D22" s="11" t="s">
        <v>189</v>
      </c>
      <c r="E22" s="11" t="s">
        <v>190</v>
      </c>
    </row>
    <row r="23" spans="1:5" x14ac:dyDescent="0.2">
      <c r="A23" s="41" t="s">
        <v>191</v>
      </c>
      <c r="B23" s="34" t="s">
        <v>192</v>
      </c>
      <c r="C23" s="31" t="s">
        <v>193</v>
      </c>
      <c r="D23" s="9" t="s">
        <v>194</v>
      </c>
      <c r="E23" s="9" t="s">
        <v>195</v>
      </c>
    </row>
    <row r="24" spans="1:5" x14ac:dyDescent="0.2">
      <c r="A24" s="41" t="s">
        <v>196</v>
      </c>
      <c r="B24" s="35" t="s">
        <v>192</v>
      </c>
      <c r="C24" s="11" t="s">
        <v>197</v>
      </c>
      <c r="D24" s="11" t="s">
        <v>198</v>
      </c>
      <c r="E24" s="11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1795e4-171e-4f20-8518-3974bc2c4c0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19A63EE33E9F4BB66283F48906A56D" ma:contentTypeVersion="12" ma:contentTypeDescription="Create a new document." ma:contentTypeScope="" ma:versionID="07d6f3a439c28630338685387691af95">
  <xsd:schema xmlns:xsd="http://www.w3.org/2001/XMLSchema" xmlns:xs="http://www.w3.org/2001/XMLSchema" xmlns:p="http://schemas.microsoft.com/office/2006/metadata/properties" xmlns:ns2="b11795e4-171e-4f20-8518-3974bc2c4c05" xmlns:ns3="be3d1b58-ea46-4760-8657-1ac331efbc91" targetNamespace="http://schemas.microsoft.com/office/2006/metadata/properties" ma:root="true" ma:fieldsID="eb2aa8211c7049373316d33d83cff2f3" ns2:_="" ns3:_="">
    <xsd:import namespace="b11795e4-171e-4f20-8518-3974bc2c4c05"/>
    <xsd:import namespace="be3d1b58-ea46-4760-8657-1ac331efb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795e4-171e-4f20-8518-3974bc2c4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d1b58-ea46-4760-8657-1ac331efbc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6CC9CF-0FDD-42F0-96E6-6C96DDE0C8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293803-56DF-4821-BCFF-647F0C9BB818}">
  <ds:schemaRefs>
    <ds:schemaRef ds:uri="http://schemas.microsoft.com/office/2006/metadata/properties"/>
    <ds:schemaRef ds:uri="http://schemas.microsoft.com/office/infopath/2007/PartnerControls"/>
    <ds:schemaRef ds:uri="b11795e4-171e-4f20-8518-3974bc2c4c05"/>
  </ds:schemaRefs>
</ds:datastoreItem>
</file>

<file path=customXml/itemProps3.xml><?xml version="1.0" encoding="utf-8"?>
<ds:datastoreItem xmlns:ds="http://schemas.openxmlformats.org/officeDocument/2006/customXml" ds:itemID="{A640DA1B-2822-41FC-B0FD-1D3DCE4C15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1795e4-171e-4f20-8518-3974bc2c4c05"/>
    <ds:schemaRef ds:uri="be3d1b58-ea46-4760-8657-1ac331efbc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 (wide)</vt:lpstr>
      <vt:lpstr>Reconciliation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cengiz kotan</cp:lastModifiedBy>
  <cp:revision>0</cp:revision>
  <dcterms:created xsi:type="dcterms:W3CDTF">2026-05-31T16:11:24Z</dcterms:created>
  <dcterms:modified xsi:type="dcterms:W3CDTF">2026-07-21T09:08:09Z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0x0101003119A63EE33E9F4BB66283F48906A56D</vt:lpwstr>
  </property>
  <property fmtid="{D5CDD505-2E9C-101B-9397-08002B2CF9AE}" pid="3" name="MediaServiceImageTags">
    <vt:lpwstr/>
  </property>
</Properties>
</file>